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afyd\PycharmProjects\TennisBetfinder\"/>
    </mc:Choice>
  </mc:AlternateContent>
  <bookViews>
    <workbookView xWindow="0" yWindow="0" windowWidth="23040" windowHeight="8520"/>
  </bookViews>
  <sheets>
    <sheet name="BettingPandL" sheetId="1" r:id="rId1"/>
  </sheets>
  <calcPr calcId="0"/>
</workbook>
</file>

<file path=xl/calcChain.xml><?xml version="1.0" encoding="utf-8"?>
<calcChain xmlns="http://schemas.openxmlformats.org/spreadsheetml/2006/main">
  <c r="H6" i="1" l="1"/>
  <c r="H5" i="1"/>
  <c r="H7" i="1" l="1"/>
  <c r="L1" i="1"/>
  <c r="H1" i="1"/>
  <c r="H9" i="1" l="1"/>
  <c r="H8" i="1"/>
</calcChain>
</file>

<file path=xl/sharedStrings.xml><?xml version="1.0" encoding="utf-8"?>
<sst xmlns="http://schemas.openxmlformats.org/spreadsheetml/2006/main" count="41" uniqueCount="41">
  <si>
    <t>Market</t>
  </si>
  <si>
    <t>Start time</t>
  </si>
  <si>
    <t>Settled date</t>
  </si>
  <si>
    <t>Profit/Loss (£)</t>
  </si>
  <si>
    <t>Tennis / Fernanda Labrana v Sofia Cohen Perovani : Match Odds</t>
  </si>
  <si>
    <t>Tennis / Eva Garkusha v Bunyawi Thamchaiwat : Match Odds</t>
  </si>
  <si>
    <t>Tennis / Janice Tjen v Jade Otway : Match Odds</t>
  </si>
  <si>
    <t>Tennis / Marie Mettraux v Pilar Beveraggi Lespiau : Match Odds</t>
  </si>
  <si>
    <t>Tennis / Kat von Deichmann v Er Andreeva : Match Odds</t>
  </si>
  <si>
    <t>Tennis / Katherine Barnes v Zongyu Li : Match Odds</t>
  </si>
  <si>
    <t>Tennis / Milan Swanepoel v Elena Jamshidi : Match Odds</t>
  </si>
  <si>
    <t>Tennis / Janice Tjen v Sarah Rokusek : Match Odds</t>
  </si>
  <si>
    <t>Tennis / Giovana Schincariol Delatorre Barbosa v Sabastiani : Match Odds</t>
  </si>
  <si>
    <t>Tennis / Gloria Contrino v Julia Konishi Camargo Silva : Match Odds</t>
  </si>
  <si>
    <t>Tennis / Parrizas Diaz v Li Tagger : Match Odds</t>
  </si>
  <si>
    <t>Tennis / Helena Bueno v Ana Candiotto : Match Odds</t>
  </si>
  <si>
    <t>Tennis / Camila Romero v Lais Mika Shibata : Match Odds</t>
  </si>
  <si>
    <t>Tennis / Alexandrova v Tama Korpatsch : Match Odds</t>
  </si>
  <si>
    <t>Tennis / Catarina Melleiro v Luiza Fullana : Match Odds</t>
  </si>
  <si>
    <t>Tennis / Antonia Vergara Rivera v Priyanka Rodricks : Match Odds</t>
  </si>
  <si>
    <t>Tennis / Natalia Sousa Salazar v Fernanda Rain Contreras : Match Odds</t>
  </si>
  <si>
    <t>Tennis / Katherine Barnes v Anna Jakovleva : Match Odds</t>
  </si>
  <si>
    <t>Tennis / Kaitlyn Leigh Ramduth v Luisa Hrda : Match Odds</t>
  </si>
  <si>
    <t>Tennis / Carola Cavelli v Stephanie Judith Visscher : Match Odds</t>
  </si>
  <si>
    <t>Tennis / Ipek Oz v Er Andreeva : Match Odds</t>
  </si>
  <si>
    <t>Tennis / Milla Kotze v Caterina Odorizzi : Match Odds</t>
  </si>
  <si>
    <t>Tennis / Lea Tholey v Donna Le Roux : Match Odds</t>
  </si>
  <si>
    <t>Tennis / Zoe Kruger v Meri Sandenbergh : Match Odds</t>
  </si>
  <si>
    <t>Tennis / Rositsa Dencheva v Dunja Maric : Match Odds</t>
  </si>
  <si>
    <t>Tennis / Yui Chikaraishi v Bianca Compuesto : Match Odds</t>
  </si>
  <si>
    <t>Tennis / Janice Tjen v Hwiwon Wi : Match Odds</t>
  </si>
  <si>
    <t>Tennis / Golubic v Ekat Makarova : Match Odds</t>
  </si>
  <si>
    <t>Tennis / Li Tagger v Jimenez Kasintseva : Match Odds</t>
  </si>
  <si>
    <t>Mean</t>
  </si>
  <si>
    <t>Observations</t>
  </si>
  <si>
    <t>T Test</t>
  </si>
  <si>
    <t>Margin of Error</t>
  </si>
  <si>
    <t>Standard Error (STDEV.S)</t>
  </si>
  <si>
    <t>t-Critical (T.INV)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</si>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</sst>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topLeftCell="A4" workbookViewId="0">
      <selection activeCell="H6" sqref="H6"/>
    </sheetView>
  </sheetViews>
  <sheetFormatPr defaultRowHeight="14.4" x14ac:dyDescent="0.3"/>
  <cols>
    <col min="1" max="1" width="61.6640625" bestFit="1" customWidth="1"/>
    <col min="2" max="3" width="15.6640625" bestFit="1" customWidth="1"/>
    <col min="4" max="4" width="12.44140625" bestFit="1" customWidth="1"/>
    <col min="7" max="7" width="26.44140625" customWidth="1"/>
    <col min="11" max="11" width="11.6640625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G1" t="s">
        <v>33</v>
      </c>
      <c r="H1">
        <f>AVERAGE(D:D)</f>
        <v>0.16724137931034491</v>
      </c>
      <c r="K1" t="s">
        <v>34</v>
      </c>
      <c r="L1">
        <f>COUNTA(A:A)-1</f>
        <v>29</v>
      </c>
    </row>
    <row r="2" spans="1:12" x14ac:dyDescent="0.3">
      <c r="A2" t="s">
        <v>4</v>
      </c>
      <c r="B2" s="1">
        <v>45639.654166666667</v>
      </c>
      <c r="C2" s="1">
        <v>45639.80972222222</v>
      </c>
      <c r="D2">
        <v>1.17</v>
      </c>
    </row>
    <row r="3" spans="1:12" x14ac:dyDescent="0.3">
      <c r="A3" t="s">
        <v>5</v>
      </c>
      <c r="B3" s="1">
        <v>45639.175000000003</v>
      </c>
      <c r="C3" s="1">
        <v>45639.282638888886</v>
      </c>
      <c r="D3">
        <v>1.08</v>
      </c>
      <c r="G3" t="s">
        <v>35</v>
      </c>
    </row>
    <row r="4" spans="1:12" x14ac:dyDescent="0.3">
      <c r="A4" t="s">
        <v>6</v>
      </c>
      <c r="B4" s="1">
        <v>45638.877083333333</v>
      </c>
      <c r="C4" s="1">
        <v>45638.939583333333</v>
      </c>
      <c r="D4">
        <v>-0.5</v>
      </c>
    </row>
    <row r="5" spans="1:12" x14ac:dyDescent="0.3">
      <c r="A5" t="s">
        <v>7</v>
      </c>
      <c r="B5" s="1">
        <v>45638.684027777781</v>
      </c>
      <c r="C5" s="1">
        <v>45638.745138888888</v>
      </c>
      <c r="D5">
        <v>-0.48</v>
      </c>
      <c r="G5" t="s">
        <v>37</v>
      </c>
      <c r="H5">
        <f xml:space="preserve"> _xlfn.STDEV.S(D2:D30) / SQRT(COUNT(D2:D30))</f>
        <v>0.21192403634375129</v>
      </c>
    </row>
    <row r="6" spans="1:12" x14ac:dyDescent="0.3">
      <c r="A6" t="s">
        <v>8</v>
      </c>
      <c r="B6" s="1">
        <v>45638.503472222219</v>
      </c>
      <c r="C6" s="1">
        <v>45638.612500000003</v>
      </c>
      <c r="D6">
        <v>1.02</v>
      </c>
      <c r="G6" t="s">
        <v>38</v>
      </c>
      <c r="H6">
        <f xml:space="preserve"> _xlfn.T.INV.2T(1 - 0.95, COUNT(D2:D30) - 1)</f>
        <v>2.0484071417952445</v>
      </c>
    </row>
    <row r="7" spans="1:12" x14ac:dyDescent="0.3">
      <c r="A7" t="s">
        <v>9</v>
      </c>
      <c r="B7" s="1">
        <v>45638.465277777781</v>
      </c>
      <c r="C7" s="1">
        <v>45638.606249999997</v>
      </c>
      <c r="D7">
        <v>1.1000000000000001</v>
      </c>
      <c r="G7" t="s">
        <v>36</v>
      </c>
      <c r="H7">
        <f>H6*H5</f>
        <v>0.43410670956461511</v>
      </c>
    </row>
    <row r="8" spans="1:12" x14ac:dyDescent="0.3">
      <c r="A8" t="s">
        <v>10</v>
      </c>
      <c r="B8" s="1">
        <v>45638.477777777778</v>
      </c>
      <c r="C8" s="1">
        <v>45638.522916666669</v>
      </c>
      <c r="D8">
        <v>-0.5</v>
      </c>
      <c r="G8" t="s">
        <v>39</v>
      </c>
      <c r="H8">
        <f xml:space="preserve"> AVERAGE(D2:D30) -H7</f>
        <v>-0.26686533025427017</v>
      </c>
    </row>
    <row r="9" spans="1:12" x14ac:dyDescent="0.3">
      <c r="A9" t="s">
        <v>11</v>
      </c>
      <c r="B9" s="1">
        <v>45637.981944444444</v>
      </c>
      <c r="C9" s="1">
        <v>45638.012499999997</v>
      </c>
      <c r="D9">
        <v>-0.5</v>
      </c>
      <c r="G9" t="s">
        <v>40</v>
      </c>
      <c r="H9">
        <f xml:space="preserve"> AVERAGE(D2:D30) + H7</f>
        <v>0.60134808887496005</v>
      </c>
    </row>
    <row r="10" spans="1:12" x14ac:dyDescent="0.3">
      <c r="A10" t="s">
        <v>12</v>
      </c>
      <c r="B10" s="1">
        <v>45637.684027777781</v>
      </c>
      <c r="C10" s="1">
        <v>45637.80972222222</v>
      </c>
      <c r="D10">
        <v>2.2400000000000002</v>
      </c>
    </row>
    <row r="11" spans="1:12" x14ac:dyDescent="0.3">
      <c r="A11" t="s">
        <v>13</v>
      </c>
      <c r="B11" s="1">
        <v>45637.715277777781</v>
      </c>
      <c r="C11" s="1">
        <v>45637.809027777781</v>
      </c>
      <c r="D11">
        <v>-0.5</v>
      </c>
    </row>
    <row r="12" spans="1:12" x14ac:dyDescent="0.3">
      <c r="A12" t="s">
        <v>14</v>
      </c>
      <c r="B12" s="1">
        <v>45637.743055555555</v>
      </c>
      <c r="C12" s="1">
        <v>45637.804861111108</v>
      </c>
      <c r="D12">
        <v>-1.05</v>
      </c>
    </row>
    <row r="13" spans="1:12" x14ac:dyDescent="0.3">
      <c r="A13" t="s">
        <v>15</v>
      </c>
      <c r="B13" s="1">
        <v>45637.686111111114</v>
      </c>
      <c r="C13" s="1">
        <v>45637.795138888891</v>
      </c>
      <c r="D13">
        <v>-0.5</v>
      </c>
    </row>
    <row r="14" spans="1:12" x14ac:dyDescent="0.3">
      <c r="A14" t="s">
        <v>16</v>
      </c>
      <c r="B14" s="1">
        <v>45637.690972222219</v>
      </c>
      <c r="C14" s="1">
        <v>45637.745138888888</v>
      </c>
      <c r="D14">
        <v>0.14000000000000001</v>
      </c>
    </row>
    <row r="15" spans="1:12" x14ac:dyDescent="0.3">
      <c r="A15" t="s">
        <v>17</v>
      </c>
      <c r="B15" s="1">
        <v>45637.659722222219</v>
      </c>
      <c r="C15" s="1">
        <v>45637.734027777777</v>
      </c>
      <c r="D15">
        <v>2.33</v>
      </c>
    </row>
    <row r="16" spans="1:12" x14ac:dyDescent="0.3">
      <c r="A16" t="s">
        <v>18</v>
      </c>
      <c r="B16" s="1">
        <v>45637.622916666667</v>
      </c>
      <c r="C16" s="1">
        <v>45637.710416666669</v>
      </c>
      <c r="D16">
        <v>-0.7</v>
      </c>
    </row>
    <row r="17" spans="1:4" x14ac:dyDescent="0.3">
      <c r="A17" t="s">
        <v>19</v>
      </c>
      <c r="B17" s="1">
        <v>45637.661805555559</v>
      </c>
      <c r="C17" s="1">
        <v>45637.705555555556</v>
      </c>
      <c r="D17">
        <v>-0.25</v>
      </c>
    </row>
    <row r="18" spans="1:4" x14ac:dyDescent="0.3">
      <c r="A18" t="s">
        <v>20</v>
      </c>
      <c r="B18" s="1">
        <v>45636.683333333334</v>
      </c>
      <c r="C18" s="1">
        <v>45637.668749999997</v>
      </c>
      <c r="D18">
        <v>2.44</v>
      </c>
    </row>
    <row r="19" spans="1:4" x14ac:dyDescent="0.3">
      <c r="A19" t="s">
        <v>21</v>
      </c>
      <c r="B19" s="1">
        <v>45637.62222222222</v>
      </c>
      <c r="C19" s="1">
        <v>45637.660416666666</v>
      </c>
      <c r="D19">
        <v>-0.2</v>
      </c>
    </row>
    <row r="20" spans="1:4" x14ac:dyDescent="0.3">
      <c r="A20" t="s">
        <v>22</v>
      </c>
      <c r="B20" s="1">
        <v>45637.449305555558</v>
      </c>
      <c r="C20" s="1">
        <v>45637.509027777778</v>
      </c>
      <c r="D20">
        <v>-0.88</v>
      </c>
    </row>
    <row r="21" spans="1:4" x14ac:dyDescent="0.3">
      <c r="A21" t="s">
        <v>23</v>
      </c>
      <c r="B21" s="1">
        <v>45637.420138888891</v>
      </c>
      <c r="C21" s="1">
        <v>45637.466666666667</v>
      </c>
      <c r="D21">
        <v>-0.5</v>
      </c>
    </row>
    <row r="22" spans="1:4" x14ac:dyDescent="0.3">
      <c r="A22" t="s">
        <v>24</v>
      </c>
      <c r="B22" s="1">
        <v>45636.760416666664</v>
      </c>
      <c r="C22" s="1">
        <v>45636.84375</v>
      </c>
      <c r="D22">
        <v>-1.05</v>
      </c>
    </row>
    <row r="23" spans="1:4" x14ac:dyDescent="0.3">
      <c r="A23" t="s">
        <v>25</v>
      </c>
      <c r="B23" s="1">
        <v>45636.407638888886</v>
      </c>
      <c r="C23" s="1">
        <v>45636.536805555559</v>
      </c>
      <c r="D23">
        <v>2.36</v>
      </c>
    </row>
    <row r="24" spans="1:4" x14ac:dyDescent="0.3">
      <c r="A24" t="s">
        <v>26</v>
      </c>
      <c r="B24" s="1">
        <v>45636.458333333336</v>
      </c>
      <c r="C24" s="1">
        <v>45636.525000000001</v>
      </c>
      <c r="D24">
        <v>-0.8</v>
      </c>
    </row>
    <row r="25" spans="1:4" x14ac:dyDescent="0.3">
      <c r="A25" t="s">
        <v>27</v>
      </c>
      <c r="B25" s="1">
        <v>45636.469444444447</v>
      </c>
      <c r="C25" s="1">
        <v>45636.509027777778</v>
      </c>
      <c r="D25">
        <v>-0.1</v>
      </c>
    </row>
    <row r="26" spans="1:4" x14ac:dyDescent="0.3">
      <c r="A26" t="s">
        <v>28</v>
      </c>
      <c r="B26" s="1">
        <v>45636.415972222225</v>
      </c>
      <c r="C26" s="1">
        <v>45636.482638888891</v>
      </c>
      <c r="D26">
        <v>-0.75</v>
      </c>
    </row>
    <row r="27" spans="1:4" x14ac:dyDescent="0.3">
      <c r="A27" t="s">
        <v>29</v>
      </c>
      <c r="B27" s="1">
        <v>45635.880555555559</v>
      </c>
      <c r="C27" s="1">
        <v>45635.950694444444</v>
      </c>
      <c r="D27">
        <v>-0.25</v>
      </c>
    </row>
    <row r="28" spans="1:4" x14ac:dyDescent="0.3">
      <c r="A28" t="s">
        <v>30</v>
      </c>
      <c r="B28" s="1">
        <v>45635.878472222219</v>
      </c>
      <c r="C28" s="1">
        <v>45635.913194444445</v>
      </c>
      <c r="D28">
        <v>-0.4</v>
      </c>
    </row>
    <row r="29" spans="1:4" x14ac:dyDescent="0.3">
      <c r="A29" t="s">
        <v>31</v>
      </c>
      <c r="B29" s="1">
        <v>45635.697916666664</v>
      </c>
      <c r="C29" s="1">
        <v>45635.749305555553</v>
      </c>
      <c r="D29">
        <v>-0.86</v>
      </c>
    </row>
    <row r="30" spans="1:4" x14ac:dyDescent="0.3">
      <c r="A30" t="s">
        <v>32</v>
      </c>
      <c r="B30" s="1">
        <v>45635.378472222219</v>
      </c>
      <c r="C30" s="1">
        <v>45635.477777777778</v>
      </c>
      <c r="D30">
        <v>1.74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BettingPandL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Dafydd Tudur</dc:creator>
  <cp:lastModifiedBy>Dafydd Tudur</cp:lastModifiedBy>
  <dcterms:created xsi:type="dcterms:W3CDTF">2024-12-14T16:40:55Z</dcterms:created>
  <dcterms:modified xsi:type="dcterms:W3CDTF">2024-12-16T04:29:27Z</dcterms:modified>
</cp:coreProperties>
</file>